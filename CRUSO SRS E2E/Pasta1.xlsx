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Calc\Inst1\data\srs e2e\"/>
    </mc:Choice>
  </mc:AlternateContent>
  <xr:revisionPtr revIDLastSave="0" documentId="13_ncr:1_{F9618736-487B-4258-95CA-45688BF7A4E1}" xr6:coauthVersionLast="47" xr6:coauthVersionMax="47" xr10:uidLastSave="{00000000-0000-0000-0000-000000000000}"/>
  <bookViews>
    <workbookView xWindow="1275" yWindow="1170" windowWidth="19200" windowHeight="11205" xr2:uid="{63C9715B-7574-47F2-BCD6-79FB0EFB0F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6" i="1"/>
  <c r="G15" i="1"/>
  <c r="F13" i="1"/>
  <c r="F14" i="1"/>
  <c r="F15" i="1"/>
  <c r="F16" i="1"/>
  <c r="F17" i="1"/>
  <c r="F12" i="1"/>
  <c r="E13" i="1"/>
  <c r="E14" i="1"/>
  <c r="E15" i="1"/>
  <c r="E16" i="1"/>
  <c r="E17" i="1"/>
  <c r="E12" i="1"/>
  <c r="D13" i="1"/>
  <c r="D14" i="1"/>
  <c r="D15" i="1"/>
  <c r="D16" i="1"/>
  <c r="D17" i="1"/>
  <c r="D12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<sst xmlns="http://schemas.openxmlformats.org/spreadsheetml/2006/main" count="11" uniqueCount="11">
  <si>
    <t>MC UM</t>
  </si>
  <si>
    <t>1 (0.5)</t>
  </si>
  <si>
    <t>1 (0.2)</t>
  </si>
  <si>
    <t>CCC UM</t>
  </si>
  <si>
    <t>ratio</t>
  </si>
  <si>
    <t>nC/100MU</t>
  </si>
  <si>
    <t>200cGy</t>
  </si>
  <si>
    <t>MC Scp</t>
  </si>
  <si>
    <t>CCC Scp</t>
  </si>
  <si>
    <t>Edge Scp</t>
  </si>
  <si>
    <t>Corrigido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</si>
</sst>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Planilha1!$D$11</c:f>
              <c:strCache>
                <c:ptCount val="1"/>
                <c:pt idx="0">
                  <c:v>MC Scp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Planilha1!$C$12:$C$17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</c:numCache>
            </c:numRef>
          </c:xVal>
          <c:yVal>
            <c:numRef>
              <c:f>Planilha1!$D$12:$D$17</c:f>
              <c:numCache>
                <c:formatCode>0.000</c:formatCode>
                <c:ptCount val="6"/>
                <c:pt idx="0">
                  <c:v>1</c:v>
                </c:pt>
                <c:pt idx="1">
                  <c:v>0.89678123295144574</c:v>
                </c:pt>
                <c:pt idx="2">
                  <c:v>0.80821423888816057</c:v>
                </c:pt>
                <c:pt idx="3">
                  <c:v>0.65035739719885</c:v>
                </c:pt>
                <c:pt idx="4">
                  <c:v>0.68175408521580438</c:v>
                </c:pt>
                <c:pt idx="5">
                  <c:v>0.39658694288517526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8E-44FE-A239-25712A51C151}"/>
            </c:ext>
          </c:extLst>
        </c:ser>
        <c:ser>
          <c:idx val="1"/>
          <c:order val="1"/>
          <c:tx>
            <c:strRef>
              <c:f>Planilha1!$E$11</c:f>
              <c:strCache>
                <c:ptCount val="1"/>
                <c:pt idx="0">
                  <c:v>CCC Scp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Planilha1!$C$12:$C$17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</c:numCache>
            </c:numRef>
          </c:xVal>
          <c:yVal>
            <c:numRef>
              <c:f>Planilha1!$E$12:$E$17</c:f>
              <c:numCache>
                <c:formatCode>0.000</c:formatCode>
                <c:ptCount val="6"/>
                <c:pt idx="0">
                  <c:v>1</c:v>
                </c:pt>
                <c:pt idx="1">
                  <c:v>0.87679903815552163</c:v>
                </c:pt>
                <c:pt idx="2">
                  <c:v>0.777735955584831</c:v>
                </c:pt>
                <c:pt idx="3">
                  <c:v>0.47637802839631882</c:v>
                </c:pt>
                <c:pt idx="4">
                  <c:v>0.53567956445654286</c:v>
                </c:pt>
                <c:pt idx="5">
                  <c:v>0.19877026182039728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8E-44FE-A239-25712A51C151}"/>
            </c:ext>
          </c:extLst>
        </c:ser>
        <c:ser>
          <c:idx val="2"/>
          <c:order val="2"/>
          <c:tx>
            <c:strRef>
              <c:f>Planilha1!$F$11</c:f>
              <c:strCache>
                <c:ptCount val="1"/>
                <c:pt idx="0">
                  <c:v>Edge Scp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Planilha1!$C$12:$C$17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</c:numCache>
            </c:numRef>
          </c:xVal>
          <c:yVal>
            <c:numRef>
              <c:f>Planilha1!$F$12:$F$17</c:f>
              <c:numCache>
                <c:formatCode>0.000</c:formatCode>
                <c:ptCount val="6"/>
                <c:pt idx="0">
                  <c:v>1</c:v>
                </c:pt>
                <c:pt idx="1">
                  <c:v>0.87985023825731801</c:v>
                </c:pt>
                <c:pt idx="2">
                  <c:v>0.80871341048332201</c:v>
                </c:pt>
                <c:pt idx="3">
                  <c:v>0.71409121851599733</c:v>
                </c:pt>
                <c:pt idx="4">
                  <c:v>0.71409121851599733</c:v>
                </c:pt>
                <c:pt idx="5">
                  <c:v>0.48842750170183796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8E-44FE-A239-25712A51C151}"/>
            </c:ext>
          </c:extLst>
        </c:ser>
        <c:ser>
          <c:idx val="3"/>
          <c:order val="3"/>
          <c:tx>
            <c:strRef>
              <c:f>Planilha1!$G$11</c:f>
              <c:strCache>
                <c:ptCount val="1"/>
                <c:pt idx="0">
                  <c:v>Corrigido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Planilha1!$C$12:$C$17</c:f>
              <c:numCache>
                <c:formatCode>General</c:formatCode>
                <c:ptCount val="6"/>
                <c:pt idx="0">
                  <c:v>10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</c:numCache>
            </c:numRef>
          </c:xVal>
          <c:yVal>
            <c:numRef>
              <c:f>Planilha1!$G$12:$G$17</c:f>
              <c:numCache>
                <c:formatCode>0.000</c:formatCode>
                <c:ptCount val="6"/>
                <c:pt idx="0" formatCode="General">
                  <c:v>1</c:v>
                </c:pt>
                <c:pt idx="1">
                  <c:v>0.87985023825731801</c:v>
                </c:pt>
                <c:pt idx="2">
                  <c:v>0.80386113002042203</c:v>
                </c:pt>
                <c:pt idx="3">
                  <c:v>0.6898121170864534</c:v>
                </c:pt>
                <c:pt idx="4">
                  <c:v>0.6898121170864534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18-4E8F-A55F-1D37841B5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35567"/>
        <c:axId val="190736047"/>
      </c:scatterChart>
      <c:valAx>
        <c:axId val="1907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36047"/>
        <c:crosses val="autoZero"/>
        <c:crossBetween val="midCat"/>
      </c:valAx>
      <c:valAx>
        <c:axId val="1907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7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18</xdr:row>
      <xdr:rowOff>23812</xdr:rowOff>
    </xdr:from>
    <xdr:to>
      <xdr:col>10</xdr:col>
      <xdr:colOff>9525</xdr:colOff>
      <xdr:row>34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975C34-FF83-35F5-87B0-C3D84C828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E002-205E-4A61-AD93-1B700F752392}">
  <dimension ref="C2:H17"/>
  <sheetViews>
    <sheetView tabSelected="1" topLeftCell="A10" zoomScale="166" workbookViewId="0">
      <selection activeCell="J18" sqref="J18"/>
    </sheetView>
  </sheetViews>
  <sheetFormatPr defaultRowHeight="14.5" x14ac:dyDescent="0.35"/>
  <cols>
    <col min="6" max="6" width="10.54296875" bestFit="1" customWidth="1"/>
    <col min="7" max="8" width="11" customWidth="1"/>
    <col min="10" max="10" width="10.54296875" customWidth="1"/>
  </cols>
  <sheetData>
    <row r="2" spans="3:8" x14ac:dyDescent="0.35">
      <c r="D2" t="s">
        <v>6</v>
      </c>
    </row>
    <row r="3" spans="3:8" x14ac:dyDescent="0.35">
      <c r="D3" t="s">
        <v>0</v>
      </c>
      <c r="E3" t="s">
        <v>3</v>
      </c>
      <c r="F3" t="s">
        <v>4</v>
      </c>
      <c r="G3" t="s">
        <v>5</v>
      </c>
    </row>
    <row r="4" spans="3:8" x14ac:dyDescent="0.35">
      <c r="C4" s="4">
        <v>10</v>
      </c>
      <c r="D4">
        <v>246.57</v>
      </c>
      <c r="E4">
        <v>247.95</v>
      </c>
      <c r="F4" s="2">
        <f>D4/E4</f>
        <v>0.99443436176648514</v>
      </c>
      <c r="G4">
        <v>29.38</v>
      </c>
    </row>
    <row r="5" spans="3:8" x14ac:dyDescent="0.35">
      <c r="C5" s="4">
        <v>4</v>
      </c>
      <c r="D5">
        <v>274.95</v>
      </c>
      <c r="E5">
        <v>282.79000000000002</v>
      </c>
      <c r="F5" s="2">
        <f t="shared" ref="F5:F9" si="0">D5/E5</f>
        <v>0.97227624739205765</v>
      </c>
      <c r="G5">
        <v>25.85</v>
      </c>
    </row>
    <row r="6" spans="3:8" x14ac:dyDescent="0.35">
      <c r="C6" s="4">
        <v>2</v>
      </c>
      <c r="D6">
        <v>305.08</v>
      </c>
      <c r="E6">
        <v>318.81</v>
      </c>
      <c r="F6" s="2">
        <f t="shared" si="0"/>
        <v>0.95693359681314882</v>
      </c>
      <c r="G6">
        <v>23.76</v>
      </c>
    </row>
    <row r="7" spans="3:8" x14ac:dyDescent="0.35">
      <c r="C7" s="4" t="s">
        <v>1</v>
      </c>
      <c r="D7">
        <v>379.13</v>
      </c>
      <c r="E7">
        <v>520.49</v>
      </c>
      <c r="F7" s="2">
        <f t="shared" si="0"/>
        <v>0.72840976771888022</v>
      </c>
      <c r="G7">
        <v>20.98</v>
      </c>
    </row>
    <row r="8" spans="3:8" x14ac:dyDescent="0.35">
      <c r="C8" s="4" t="s">
        <v>2</v>
      </c>
      <c r="D8">
        <v>361.67</v>
      </c>
      <c r="E8">
        <v>462.87</v>
      </c>
      <c r="F8" s="2">
        <f t="shared" si="0"/>
        <v>0.78136409791086048</v>
      </c>
      <c r="G8">
        <v>20.98</v>
      </c>
    </row>
    <row r="9" spans="3:8" x14ac:dyDescent="0.35">
      <c r="C9" s="4">
        <v>0.5</v>
      </c>
      <c r="D9">
        <v>621.73</v>
      </c>
      <c r="E9">
        <v>1247.42</v>
      </c>
      <c r="F9" s="2">
        <f t="shared" si="0"/>
        <v>0.49841272386205127</v>
      </c>
      <c r="G9">
        <v>14.35</v>
      </c>
    </row>
    <row r="11" spans="3:8" x14ac:dyDescent="0.35">
      <c r="D11" t="s">
        <v>7</v>
      </c>
      <c r="E11" t="s">
        <v>8</v>
      </c>
      <c r="F11" t="s">
        <v>9</v>
      </c>
      <c r="G11" t="s">
        <v>10</v>
      </c>
    </row>
    <row r="12" spans="3:8" x14ac:dyDescent="0.35">
      <c r="C12" s="4">
        <v>10</v>
      </c>
      <c r="D12" s="3">
        <f t="shared" ref="D12:D17" si="1">1/(D4/$D$4)</f>
        <v>1</v>
      </c>
      <c r="E12" s="3">
        <f t="shared" ref="E12:E17" si="2">1/(E4/$E$4)</f>
        <v>1</v>
      </c>
      <c r="F12" s="1">
        <f t="shared" ref="F12:F17" si="3">G4/$G$4</f>
        <v>1</v>
      </c>
      <c r="G12" s="4">
        <v>1</v>
      </c>
    </row>
    <row r="13" spans="3:8" x14ac:dyDescent="0.35">
      <c r="C13" s="4">
        <v>4</v>
      </c>
      <c r="D13" s="3">
        <f t="shared" si="1"/>
        <v>0.89678123295144574</v>
      </c>
      <c r="E13" s="3">
        <f t="shared" si="2"/>
        <v>0.87679903815552163</v>
      </c>
      <c r="F13" s="1">
        <f t="shared" si="3"/>
        <v>0.87985023825731801</v>
      </c>
      <c r="G13" s="3">
        <f>H13*F13</f>
        <v>0.87985023825731801</v>
      </c>
      <c r="H13">
        <v>1</v>
      </c>
    </row>
    <row r="14" spans="3:8" x14ac:dyDescent="0.35">
      <c r="C14" s="4">
        <v>2</v>
      </c>
      <c r="D14" s="3">
        <f t="shared" si="1"/>
        <v>0.80821423888816057</v>
      </c>
      <c r="E14" s="3">
        <f t="shared" si="2"/>
        <v>0.777735955584831</v>
      </c>
      <c r="F14" s="1">
        <f t="shared" si="3"/>
        <v>0.80871341048332201</v>
      </c>
      <c r="G14" s="3">
        <f>H14*F14</f>
        <v>0.80386113002042203</v>
      </c>
      <c r="H14">
        <v>0.99399999999999999</v>
      </c>
    </row>
    <row r="15" spans="3:8" x14ac:dyDescent="0.35">
      <c r="C15" s="4">
        <v>1</v>
      </c>
      <c r="D15" s="3">
        <f t="shared" si="1"/>
        <v>0.65035739719885</v>
      </c>
      <c r="E15" s="3">
        <f t="shared" si="2"/>
        <v>0.47637802839631882</v>
      </c>
      <c r="F15" s="1">
        <f t="shared" si="3"/>
        <v>0.71409121851599733</v>
      </c>
      <c r="G15" s="3">
        <f>H15*F15</f>
        <v>0.6898121170864534</v>
      </c>
      <c r="H15">
        <v>0.96599999999999997</v>
      </c>
    </row>
    <row r="16" spans="3:8" x14ac:dyDescent="0.35">
      <c r="C16" s="4">
        <v>1</v>
      </c>
      <c r="D16" s="3">
        <f t="shared" si="1"/>
        <v>0.68175408521580438</v>
      </c>
      <c r="E16" s="3">
        <f t="shared" si="2"/>
        <v>0.53567956445654286</v>
      </c>
      <c r="F16" s="1">
        <f t="shared" si="3"/>
        <v>0.71409121851599733</v>
      </c>
      <c r="G16" s="3">
        <f>H16*F16</f>
        <v>0.6898121170864534</v>
      </c>
      <c r="H16">
        <v>0.96599999999999997</v>
      </c>
    </row>
    <row r="17" spans="3:6" x14ac:dyDescent="0.35">
      <c r="C17" s="4">
        <v>0.5</v>
      </c>
      <c r="D17" s="3">
        <f t="shared" si="1"/>
        <v>0.39658694288517526</v>
      </c>
      <c r="E17" s="3">
        <f t="shared" si="2"/>
        <v>0.19877026182039728</v>
      </c>
      <c r="F17" s="1">
        <f t="shared" si="3"/>
        <v>0.48842750170183796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Argolo Piedade</dc:creator>
  <cp:lastModifiedBy>Pedro Argolo Piedade</cp:lastModifiedBy>
  <dcterms:created xsi:type="dcterms:W3CDTF">2026-04-11T17:07:51Z</dcterms:created>
  <dcterms:modified xsi:type="dcterms:W3CDTF">2026-04-11T19:46:46Z</dcterms:modified>
</cp:coreProperties>
</file>